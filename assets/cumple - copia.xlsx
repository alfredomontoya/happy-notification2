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progra\happy-notification\assets\"/>
    </mc:Choice>
  </mc:AlternateContent>
  <xr:revisionPtr revIDLastSave="0" documentId="13_ncr:1_{AF4F68E5-9B65-418B-8ABD-2B33F545C2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3" sheetId="3" r:id="rId1"/>
    <sheet name="Hoja1" sheetId="1" r:id="rId2"/>
    <sheet name="Hoja2" sheetId="2" r:id="rId3"/>
  </sheets>
  <definedNames>
    <definedName name="_xlnm._FilterDatabase" localSheetId="1" hidden="1">Hoja1!$A$1:$C$47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" i="1"/>
</calcChain>
</file>

<file path=xl/sharedStrings.xml><?xml version="1.0" encoding="utf-8"?>
<sst xmlns="http://schemas.openxmlformats.org/spreadsheetml/2006/main" count="194" uniqueCount="84">
  <si>
    <t>Nº</t>
  </si>
  <si>
    <t>NOMBRE</t>
  </si>
  <si>
    <t>PATRICIA CASANOVA</t>
  </si>
  <si>
    <t>PURA GABRIELA JORDAN</t>
  </si>
  <si>
    <t>ALEXANDER MIGUEL HUERTAS GUTIERREZ</t>
  </si>
  <si>
    <t>GERMAN TORRICO</t>
  </si>
  <si>
    <t>ZAIDA NILDA MOJICA DE QUIROGA</t>
  </si>
  <si>
    <t xml:space="preserve">ANDREA VARGAS </t>
  </si>
  <si>
    <t>ROSMERY SEMIZO</t>
  </si>
  <si>
    <t>GABRIELA ANTELO LUDUEÑA</t>
  </si>
  <si>
    <t>CRISTIAN MARCELO PIZARROSO</t>
  </si>
  <si>
    <t>CLAUDIA PATRICIA LANZA</t>
  </si>
  <si>
    <t>REBECA JALDIN</t>
  </si>
  <si>
    <t>CARLOS ANDRES GARCIA</t>
  </si>
  <si>
    <t>FRANCISCO JAVIER ALVAREZ</t>
  </si>
  <si>
    <t xml:space="preserve">DOMINGO BLANCO ZABALA </t>
  </si>
  <si>
    <t>ROXANA TORRICO</t>
  </si>
  <si>
    <t>JUANA ESTHER PEREYRA</t>
  </si>
  <si>
    <t>LAURA GALVIS</t>
  </si>
  <si>
    <t>JUANA PEINADO</t>
  </si>
  <si>
    <t>NORMA EGUEZ</t>
  </si>
  <si>
    <t>ADAN RIBERA</t>
  </si>
  <si>
    <t xml:space="preserve"> </t>
  </si>
  <si>
    <t>OSVALDO MARQUEZ</t>
  </si>
  <si>
    <t>JOANA ALDUNATE</t>
  </si>
  <si>
    <t>JHASMANI JIMENEZ</t>
  </si>
  <si>
    <t>JOSE MAURICIO JIMENEZ</t>
  </si>
  <si>
    <t>ARTURO POQUECHOQUE</t>
  </si>
  <si>
    <t>JOSE MANUEL DURAN</t>
  </si>
  <si>
    <t>LUIS ALBERTO HURTADO</t>
  </si>
  <si>
    <t>TEODORA SIRPA</t>
  </si>
  <si>
    <t>KATHIA VERONICA ARAUZ VACA</t>
  </si>
  <si>
    <t>PEDRO ORLANDO PEDRAZA</t>
  </si>
  <si>
    <t>CARMEN JUSTINIANO BARRIOS 1966</t>
  </si>
  <si>
    <t>VIVIANA MARTINEZ OVANDO</t>
  </si>
  <si>
    <t>EMILIO SANCHEZ ZEBALLOS</t>
  </si>
  <si>
    <t>MIREYSA MONICA ITURRI ARIAS</t>
  </si>
  <si>
    <t>LINO ESCOBAR TABOADA</t>
  </si>
  <si>
    <t>ANIBAL PAZ FLORES</t>
  </si>
  <si>
    <t>YENNY ROJAS ROJO</t>
  </si>
  <si>
    <t>NILDA FERNANDEZ INARRA</t>
  </si>
  <si>
    <t>ANI EEDY VACA DE GARCIA</t>
  </si>
  <si>
    <t>SULMA YUGAR MAMANI MERUBIA</t>
  </si>
  <si>
    <t>BAILON ALBERTO RIBERA VACA</t>
  </si>
  <si>
    <t>JOSE LUIS TORRICO ROJAS</t>
  </si>
  <si>
    <t>CARLOS ALBERTO CHAVARRIA RODRIGUEZ</t>
  </si>
  <si>
    <t>ANITA CRUZ CALDERON</t>
  </si>
  <si>
    <t>DELCY CHUMACERO 1970</t>
  </si>
  <si>
    <t>C.I.</t>
  </si>
  <si>
    <t>Secretaria General</t>
  </si>
  <si>
    <t>Secretaria de Relaciones</t>
  </si>
  <si>
    <t>Secretaria de Conflictos</t>
  </si>
  <si>
    <t>Secretaria Organización</t>
  </si>
  <si>
    <t>Secretaria de Hacienda</t>
  </si>
  <si>
    <t>Secretaria de Prensa y Propaganda</t>
  </si>
  <si>
    <t>Secretaria de Actas</t>
  </si>
  <si>
    <t>Secretaria de Deportes</t>
  </si>
  <si>
    <t>Secretaria de Cultura</t>
  </si>
  <si>
    <t>Secretaria de Genero</t>
  </si>
  <si>
    <t>Secretaria de Bienestar Social y Beneficiencia</t>
  </si>
  <si>
    <t>Secretaria de Vinculacion Sindical</t>
  </si>
  <si>
    <t>Secretaria de Vivienda</t>
  </si>
  <si>
    <t>Secretaria de Cooperativas</t>
  </si>
  <si>
    <t>Secretaria de Seguridad Industrial</t>
  </si>
  <si>
    <t>Secretaria de Transporte</t>
  </si>
  <si>
    <t>Secretaria de Derechos Humanos</t>
  </si>
  <si>
    <t>Delegado a la F.S.T.M.S.C.</t>
  </si>
  <si>
    <t>Delegado a la COD</t>
  </si>
  <si>
    <t>Secretaria de Relaciones Internacionales</t>
  </si>
  <si>
    <t>Secretaria de Medio Ambiente</t>
  </si>
  <si>
    <t>Secretario de Legislacion Laboral</t>
  </si>
  <si>
    <t>Secretaria Permanente</t>
  </si>
  <si>
    <t>Secretaria Porta Estandarte</t>
  </si>
  <si>
    <t>Vocal</t>
  </si>
  <si>
    <t>DEPENDENCIA</t>
  </si>
  <si>
    <t>SIN DEPEN</t>
  </si>
  <si>
    <t>NRO</t>
  </si>
  <si>
    <t>CARGO</t>
  </si>
  <si>
    <t>CI</t>
  </si>
  <si>
    <t>FECHA_NACIMIENTO</t>
  </si>
  <si>
    <t>mes</t>
  </si>
  <si>
    <t>Etiquetas de fila</t>
  </si>
  <si>
    <t>Total general</t>
  </si>
  <si>
    <t>Cuenta de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</si>
</sst>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2" borderId="7" xfId="0" applyFill="1" applyBorder="1"/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Montoya Calderon" refreshedDate="46231.523988194444" createdVersion="8" refreshedVersion="8" minRefreshableVersion="3" recordCount="45" xr:uid="{791E07F7-83B9-488A-B7DB-AD3A716A089B}">
  <cacheSource type="worksheet">
    <worksheetSource ref="A1:G46" sheet="Hoja1"/>
  </cacheSource>
  <cacheFields count="7">
    <cacheField name="NRO" numFmtId="0">
      <sharedItems containsSemiMixedTypes="0" containsString="0" containsNumber="1" containsInteger="1" minValue="1" maxValue="45"/>
    </cacheField>
    <cacheField name="NOMBRE" numFmtId="0">
      <sharedItems/>
    </cacheField>
    <cacheField name="FECHA_NACIMIENTO" numFmtId="14">
      <sharedItems containsSemiMixedTypes="0" containsNonDate="0" containsDate="1" containsString="0" minDate="2026-01-13T00:00:00" maxDate="2027-01-01T00:00:00"/>
    </cacheField>
    <cacheField name="mes" numFmtId="0">
      <sharedItems containsSemiMixedTypes="0" containsString="0" containsNumber="1" containsInteger="1" minValue="1" maxValue="12" count="12">
        <n v="8"/>
        <n v="12"/>
        <n v="9"/>
        <n v="7"/>
        <n v="6"/>
        <n v="11"/>
        <n v="10"/>
        <n v="3"/>
        <n v="5"/>
        <n v="2"/>
        <n v="1"/>
        <n v="4"/>
      </sharedItems>
    </cacheField>
    <cacheField name="CARGO" numFmtId="0">
      <sharedItems/>
    </cacheField>
    <cacheField name="CI" numFmtId="0">
      <sharedItems containsSemiMixedTypes="0" containsString="0" containsNumber="1" containsInteger="1" minValue="100" maxValue="144"/>
    </cacheField>
    <cacheField name="DEPENDENCI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s v="PATRICIA CASANOVA"/>
    <d v="2026-08-11T00:00:00"/>
    <x v="0"/>
    <s v="Secretaria General"/>
    <n v="100"/>
    <s v="SIN DEPEN"/>
  </r>
  <r>
    <n v="2"/>
    <s v="PURA GABRIELA JORDAN"/>
    <d v="2026-12-31T00:00:00"/>
    <x v="1"/>
    <s v="Secretaria de Relaciones"/>
    <n v="101"/>
    <s v="SIN DEPEN"/>
  </r>
  <r>
    <n v="3"/>
    <s v="ALEXANDER MIGUEL HUERTAS GUTIERREZ"/>
    <d v="2026-12-08T00:00:00"/>
    <x v="1"/>
    <s v="Secretaria de Conflictos"/>
    <n v="102"/>
    <s v="SIN DEPEN"/>
  </r>
  <r>
    <n v="4"/>
    <s v="GERMAN TORRICO"/>
    <d v="2026-09-24T00:00:00"/>
    <x v="2"/>
    <s v="Secretaria de Conflictos"/>
    <n v="103"/>
    <s v="SIN DEPEN"/>
  </r>
  <r>
    <n v="5"/>
    <s v="ZAIDA NILDA MOJICA DE QUIROGA"/>
    <d v="2026-07-15T00:00:00"/>
    <x v="3"/>
    <s v="Secretaria de Conflictos"/>
    <n v="104"/>
    <s v="SIN DEPEN"/>
  </r>
  <r>
    <n v="6"/>
    <s v="KATHIA VERONICA ARAUZ VACA"/>
    <d v="2026-06-30T00:00:00"/>
    <x v="4"/>
    <s v="Secretaria Organización"/>
    <n v="105"/>
    <s v="SIN DEPEN"/>
  </r>
  <r>
    <n v="7"/>
    <s v="ANITA CRUZ CALDERON"/>
    <d v="2026-09-23T00:00:00"/>
    <x v="2"/>
    <s v="Secretaria Organización"/>
    <n v="106"/>
    <s v="SIN DEPEN"/>
  </r>
  <r>
    <n v="8"/>
    <s v="ANDREA VARGAS "/>
    <d v="2026-11-30T00:00:00"/>
    <x v="5"/>
    <s v="Secretaria Organización"/>
    <n v="107"/>
    <s v="SIN DEPEN"/>
  </r>
  <r>
    <n v="9"/>
    <s v="ROSMERY SEMIZO"/>
    <d v="2026-08-13T00:00:00"/>
    <x v="0"/>
    <s v="Secretaria de Hacienda"/>
    <n v="108"/>
    <s v="SIN DEPEN"/>
  </r>
  <r>
    <n v="10"/>
    <s v="GABRIELA ANTELO LUDUEÑA"/>
    <d v="2026-10-25T00:00:00"/>
    <x v="6"/>
    <s v="Secretaria de Prensa y Propaganda"/>
    <n v="109"/>
    <s v="SIN DEPEN"/>
  </r>
  <r>
    <n v="11"/>
    <s v="CRISTIAN MARCELO PIZARROSO"/>
    <d v="2026-07-08T00:00:00"/>
    <x v="3"/>
    <s v="Secretaria de Prensa y Propaganda"/>
    <n v="110"/>
    <s v="SIN DEPEN"/>
  </r>
  <r>
    <n v="12"/>
    <s v="CLAUDIA PATRICIA LANZA"/>
    <d v="2026-06-02T00:00:00"/>
    <x v="4"/>
    <s v="Secretaria de Prensa y Propaganda"/>
    <n v="111"/>
    <s v="SIN DEPEN"/>
  </r>
  <r>
    <n v="13"/>
    <s v="REBECA JALDIN"/>
    <d v="2026-11-22T00:00:00"/>
    <x v="5"/>
    <s v="Secretaria de Actas"/>
    <n v="112"/>
    <s v="SIN DEPEN"/>
  </r>
  <r>
    <n v="14"/>
    <s v="CARLOS ANDRES GARCIA"/>
    <d v="2026-03-25T00:00:00"/>
    <x v="7"/>
    <s v="Secretaria de Deportes"/>
    <n v="113"/>
    <s v="SIN DEPEN"/>
  </r>
  <r>
    <n v="15"/>
    <s v="FRANCISCO JAVIER ALVAREZ"/>
    <d v="2026-12-03T00:00:00"/>
    <x v="1"/>
    <s v="Secretaria de Deportes"/>
    <n v="114"/>
    <s v="SIN DEPEN"/>
  </r>
  <r>
    <n v="16"/>
    <s v="DOMINGO BLANCO ZABALA "/>
    <d v="2026-10-22T00:00:00"/>
    <x v="6"/>
    <s v="Secretaria de Cultura"/>
    <n v="115"/>
    <s v="SIN DEPEN"/>
  </r>
  <r>
    <n v="17"/>
    <s v="ROXANA TORRICO"/>
    <d v="2026-03-28T00:00:00"/>
    <x v="7"/>
    <s v="Secretaria de Cultura"/>
    <n v="116"/>
    <s v="SIN DEPEN"/>
  </r>
  <r>
    <n v="18"/>
    <s v="JUANA ESTHER PEREYRA"/>
    <d v="2026-06-24T00:00:00"/>
    <x v="4"/>
    <s v="Secretaria de Genero"/>
    <n v="117"/>
    <s v="SIN DEPEN"/>
  </r>
  <r>
    <n v="19"/>
    <s v="LAURA GALVIS"/>
    <d v="2026-11-17T00:00:00"/>
    <x v="5"/>
    <s v="Secretaria de Genero"/>
    <n v="118"/>
    <s v="SIN DEPEN"/>
  </r>
  <r>
    <n v="20"/>
    <s v="JUANA PEINADO"/>
    <d v="2026-05-06T00:00:00"/>
    <x v="8"/>
    <s v="Secretaria de Bienestar Social y Beneficiencia"/>
    <n v="119"/>
    <s v="SIN DEPEN"/>
  </r>
  <r>
    <n v="21"/>
    <s v="NORMA EGUEZ"/>
    <d v="2026-02-25T00:00:00"/>
    <x v="9"/>
    <s v="Secretaria de Bienestar Social y Beneficiencia"/>
    <n v="120"/>
    <s v="SIN DEPEN"/>
  </r>
  <r>
    <n v="22"/>
    <s v="ADAN RIBERA"/>
    <d v="2026-11-04T00:00:00"/>
    <x v="5"/>
    <s v="Secretaria de Bienestar Social y Beneficiencia"/>
    <n v="121"/>
    <s v="SIN DEPEN"/>
  </r>
  <r>
    <n v="23"/>
    <s v="CARLOS ALBERTO CHAVARRIA RODRIGUEZ"/>
    <d v="2026-08-10T00:00:00"/>
    <x v="0"/>
    <s v="Secretaria de Vinculacion Sindical"/>
    <n v="122"/>
    <s v="SIN DEPEN"/>
  </r>
  <r>
    <n v="24"/>
    <s v="JOSE LUIS TORRICO ROJAS"/>
    <d v="2026-01-13T00:00:00"/>
    <x v="10"/>
    <s v="Secretaria de Vinculacion Sindical"/>
    <n v="123"/>
    <s v="SIN DEPEN"/>
  </r>
  <r>
    <n v="25"/>
    <s v="BAILON ALBERTO RIBERA VACA"/>
    <d v="2026-08-07T00:00:00"/>
    <x v="0"/>
    <s v="Secretaria de Vivienda"/>
    <n v="124"/>
    <s v="SIN DEPEN"/>
  </r>
  <r>
    <n v="26"/>
    <s v="SULMA YUGAR MAMANI MERUBIA"/>
    <d v="2026-08-22T00:00:00"/>
    <x v="0"/>
    <s v="Secretaria de Vivienda"/>
    <n v="125"/>
    <s v="SIN DEPEN"/>
  </r>
  <r>
    <n v="27"/>
    <s v="CARMEN JUSTINIANO BARRIOS 1966"/>
    <d v="2026-02-12T00:00:00"/>
    <x v="9"/>
    <s v="Secretaria de Cooperativas"/>
    <n v="126"/>
    <s v="SIN DEPEN"/>
  </r>
  <r>
    <n v="28"/>
    <s v="VIVIANA MARTINEZ OVANDO"/>
    <d v="2026-12-17T00:00:00"/>
    <x v="1"/>
    <s v="Secretaria de Cooperativas"/>
    <n v="127"/>
    <s v="SIN DEPEN"/>
  </r>
  <r>
    <n v="29"/>
    <s v="EMILIO SANCHEZ ZEBALLOS"/>
    <d v="2026-05-28T00:00:00"/>
    <x v="8"/>
    <s v="Secretaria de Seguridad Industrial"/>
    <n v="128"/>
    <s v="SIN DEPEN"/>
  </r>
  <r>
    <n v="30"/>
    <s v="OSVALDO MARQUEZ"/>
    <d v="2026-07-17T00:00:00"/>
    <x v="3"/>
    <s v="Secretaria de Seguridad Industrial"/>
    <n v="129"/>
    <s v="SIN DEPEN"/>
  </r>
  <r>
    <n v="31"/>
    <s v="JOANA ALDUNATE"/>
    <d v="2026-07-17T00:00:00"/>
    <x v="3"/>
    <s v="Secretaria de Transporte"/>
    <n v="130"/>
    <s v="SIN DEPEN"/>
  </r>
  <r>
    <n v="32"/>
    <s v="PEDRO ORLANDO PEDRAZA"/>
    <d v="2026-01-18T00:00:00"/>
    <x v="10"/>
    <s v="Secretaria de Transporte"/>
    <n v="131"/>
    <s v="SIN DEPEN"/>
  </r>
  <r>
    <n v="33"/>
    <s v="MIREYSA MONICA ITURRI ARIAS"/>
    <d v="2026-06-16T00:00:00"/>
    <x v="4"/>
    <s v="Secretaria de Derechos Humanos"/>
    <n v="132"/>
    <s v="SIN DEPEN"/>
  </r>
  <r>
    <n v="34"/>
    <s v="ANIBAL PAZ FLORES"/>
    <d v="2026-12-20T00:00:00"/>
    <x v="1"/>
    <s v="Secretaria de Derechos Humanos"/>
    <n v="133"/>
    <s v="SIN DEPEN"/>
  </r>
  <r>
    <n v="35"/>
    <s v="LINO ESCOBAR TABOADA"/>
    <d v="2026-11-06T00:00:00"/>
    <x v="5"/>
    <s v="Delegado a la F.S.T.M.S.C."/>
    <n v="134"/>
    <s v="SIN DEPEN"/>
  </r>
  <r>
    <n v="36"/>
    <s v="YENNY ROJAS ROJO"/>
    <d v="2026-08-15T00:00:00"/>
    <x v="0"/>
    <s v="Delegado a la COD"/>
    <n v="135"/>
    <s v="SIN DEPEN"/>
  </r>
  <r>
    <n v="37"/>
    <s v="DELCY CHUMACERO 1970"/>
    <d v="2026-04-12T00:00:00"/>
    <x v="11"/>
    <s v="Secretaria de Relaciones Internacionales"/>
    <n v="136"/>
    <s v="SIN DEPEN"/>
  </r>
  <r>
    <n v="38"/>
    <s v="JHASMANI JIMENEZ"/>
    <d v="2026-04-22T00:00:00"/>
    <x v="11"/>
    <s v="Secretaria de Medio Ambiente"/>
    <n v="137"/>
    <s v="SIN DEPEN"/>
  </r>
  <r>
    <n v="39"/>
    <s v="ANI EEDY VACA DE GARCIA"/>
    <d v="2026-09-17T00:00:00"/>
    <x v="2"/>
    <s v="Secretario de Legislacion Laboral"/>
    <n v="138"/>
    <s v="SIN DEPEN"/>
  </r>
  <r>
    <n v="40"/>
    <s v="NILDA FERNANDEZ INARRA"/>
    <d v="2026-08-16T00:00:00"/>
    <x v="0"/>
    <s v="Secretario de Legislacion Laboral"/>
    <n v="139"/>
    <s v="SIN DEPEN"/>
  </r>
  <r>
    <n v="41"/>
    <s v="JOSE MAURICIO JIMENEZ"/>
    <d v="2026-03-12T00:00:00"/>
    <x v="7"/>
    <s v="Secretaria Permanente"/>
    <n v="140"/>
    <s v="SIN DEPEN"/>
  </r>
  <r>
    <n v="42"/>
    <s v="ARTURO POQUECHOQUE"/>
    <d v="2026-11-30T00:00:00"/>
    <x v="5"/>
    <s v="Secretaria Porta Estandarte"/>
    <n v="141"/>
    <s v="SIN DEPEN"/>
  </r>
  <r>
    <n v="43"/>
    <s v="JOSE MANUEL DURAN"/>
    <d v="2026-06-08T00:00:00"/>
    <x v="4"/>
    <s v="Vocal"/>
    <n v="142"/>
    <s v="SIN DEPEN"/>
  </r>
  <r>
    <n v="44"/>
    <s v="LUIS ALBERTO HURTADO"/>
    <d v="2026-09-29T00:00:00"/>
    <x v="2"/>
    <s v="Vocal"/>
    <n v="143"/>
    <s v="SIN DEPEN"/>
  </r>
  <r>
    <n v="45"/>
    <s v="TEODORA SIRPA"/>
    <d v="2026-10-09T00:00:00"/>
    <x v="6"/>
    <s v="Vocal"/>
    <n v="144"/>
    <s v="SIN DEP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4330E-EAA6-4197-B8B4-91CF6004BE2E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7">
    <pivotField showAll="0"/>
    <pivotField dataField="1" showAll="0"/>
    <pivotField numFmtId="14" showAll="0"/>
    <pivotField axis="axisRow" showAll="0">
      <items count="13">
        <item x="10"/>
        <item x="9"/>
        <item x="7"/>
        <item x="11"/>
        <item x="8"/>
        <item x="4"/>
        <item x="3"/>
        <item x="0"/>
        <item x="2"/>
        <item x="6"/>
        <item x="5"/>
        <item x="1"/>
        <item t="default"/>
      </items>
    </pivotField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NOMB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71C4-07AB-4235-B72B-4B125F9BDB26}">
  <dimension ref="A3:B16"/>
  <sheetViews>
    <sheetView tabSelected="1" workbookViewId="0">
      <selection activeCell="A3" sqref="A3"/>
    </sheetView>
  </sheetViews>
  <sheetFormatPr baseColWidth="10" defaultRowHeight="15"/>
  <cols>
    <col min="1" max="1" width="17.5703125" bestFit="1" customWidth="1"/>
    <col min="2" max="2" width="18.5703125" bestFit="1" customWidth="1"/>
  </cols>
  <sheetData>
    <row r="3" spans="1:2">
      <c r="A3" s="14" t="s">
        <v>81</v>
      </c>
      <c r="B3" t="s">
        <v>83</v>
      </c>
    </row>
    <row r="4" spans="1:2">
      <c r="A4" s="15">
        <v>1</v>
      </c>
      <c r="B4" s="16">
        <v>2</v>
      </c>
    </row>
    <row r="5" spans="1:2">
      <c r="A5" s="15">
        <v>2</v>
      </c>
      <c r="B5" s="16">
        <v>2</v>
      </c>
    </row>
    <row r="6" spans="1:2">
      <c r="A6" s="15">
        <v>3</v>
      </c>
      <c r="B6" s="16">
        <v>3</v>
      </c>
    </row>
    <row r="7" spans="1:2">
      <c r="A7" s="15">
        <v>4</v>
      </c>
      <c r="B7" s="16">
        <v>2</v>
      </c>
    </row>
    <row r="8" spans="1:2">
      <c r="A8" s="15">
        <v>5</v>
      </c>
      <c r="B8" s="16">
        <v>2</v>
      </c>
    </row>
    <row r="9" spans="1:2">
      <c r="A9" s="15">
        <v>6</v>
      </c>
      <c r="B9" s="16">
        <v>5</v>
      </c>
    </row>
    <row r="10" spans="1:2">
      <c r="A10" s="15">
        <v>7</v>
      </c>
      <c r="B10" s="16">
        <v>4</v>
      </c>
    </row>
    <row r="11" spans="1:2">
      <c r="A11" s="15">
        <v>8</v>
      </c>
      <c r="B11" s="16">
        <v>7</v>
      </c>
    </row>
    <row r="12" spans="1:2">
      <c r="A12" s="15">
        <v>9</v>
      </c>
      <c r="B12" s="16">
        <v>4</v>
      </c>
    </row>
    <row r="13" spans="1:2">
      <c r="A13" s="15">
        <v>10</v>
      </c>
      <c r="B13" s="16">
        <v>3</v>
      </c>
    </row>
    <row r="14" spans="1:2">
      <c r="A14" s="15">
        <v>11</v>
      </c>
      <c r="B14" s="16">
        <v>6</v>
      </c>
    </row>
    <row r="15" spans="1:2">
      <c r="A15" s="15">
        <v>12</v>
      </c>
      <c r="B15" s="16">
        <v>5</v>
      </c>
    </row>
    <row r="16" spans="1:2">
      <c r="A16" s="15" t="s">
        <v>82</v>
      </c>
      <c r="B16" s="1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opLeftCell="A12" workbookViewId="0">
      <selection activeCell="A46" sqref="A46"/>
    </sheetView>
  </sheetViews>
  <sheetFormatPr baseColWidth="10" defaultColWidth="11" defaultRowHeight="15"/>
  <cols>
    <col min="1" max="1" width="7.5703125" customWidth="1"/>
    <col min="2" max="2" width="37.5703125" customWidth="1"/>
    <col min="3" max="3" width="19.28515625" style="9" bestFit="1" customWidth="1"/>
    <col min="4" max="4" width="19.28515625" style="9" customWidth="1"/>
    <col min="5" max="5" width="41.5703125" bestFit="1" customWidth="1"/>
    <col min="7" max="7" width="13.5703125" bestFit="1" customWidth="1"/>
  </cols>
  <sheetData>
    <row r="1" spans="1:7" ht="16.5" thickBot="1">
      <c r="A1" s="1" t="s">
        <v>76</v>
      </c>
      <c r="B1" s="2" t="s">
        <v>1</v>
      </c>
      <c r="C1" s="8" t="s">
        <v>79</v>
      </c>
      <c r="D1" s="12" t="s">
        <v>80</v>
      </c>
      <c r="E1" s="11" t="s">
        <v>77</v>
      </c>
      <c r="F1" s="11" t="s">
        <v>78</v>
      </c>
      <c r="G1" s="11" t="s">
        <v>74</v>
      </c>
    </row>
    <row r="2" spans="1:7">
      <c r="A2" s="3">
        <v>1</v>
      </c>
      <c r="B2" s="4" t="s">
        <v>2</v>
      </c>
      <c r="C2" s="10">
        <v>46245</v>
      </c>
      <c r="D2" s="13">
        <f>MONTH(C2)</f>
        <v>8</v>
      </c>
      <c r="E2" t="s">
        <v>49</v>
      </c>
      <c r="F2">
        <v>100</v>
      </c>
      <c r="G2" t="s">
        <v>75</v>
      </c>
    </row>
    <row r="3" spans="1:7">
      <c r="A3" s="5">
        <v>2</v>
      </c>
      <c r="B3" s="6" t="s">
        <v>3</v>
      </c>
      <c r="C3" s="10">
        <v>46387</v>
      </c>
      <c r="D3" s="13">
        <f t="shared" ref="D3:D46" si="0">MONTH(C3)</f>
        <v>12</v>
      </c>
      <c r="E3" t="s">
        <v>50</v>
      </c>
      <c r="F3">
        <v>101</v>
      </c>
      <c r="G3" t="s">
        <v>75</v>
      </c>
    </row>
    <row r="4" spans="1:7">
      <c r="A4" s="5">
        <v>3</v>
      </c>
      <c r="B4" s="6" t="s">
        <v>4</v>
      </c>
      <c r="C4" s="10">
        <v>46364</v>
      </c>
      <c r="D4" s="13">
        <f t="shared" si="0"/>
        <v>12</v>
      </c>
      <c r="E4" t="s">
        <v>51</v>
      </c>
      <c r="F4">
        <v>102</v>
      </c>
      <c r="G4" t="s">
        <v>75</v>
      </c>
    </row>
    <row r="5" spans="1:7">
      <c r="A5" s="5">
        <v>4</v>
      </c>
      <c r="B5" s="6" t="s">
        <v>5</v>
      </c>
      <c r="C5" s="10">
        <v>46289</v>
      </c>
      <c r="D5" s="13">
        <f t="shared" si="0"/>
        <v>9</v>
      </c>
      <c r="E5" t="s">
        <v>51</v>
      </c>
      <c r="F5">
        <v>103</v>
      </c>
      <c r="G5" t="s">
        <v>75</v>
      </c>
    </row>
    <row r="6" spans="1:7">
      <c r="A6" s="5">
        <v>5</v>
      </c>
      <c r="B6" s="6" t="s">
        <v>6</v>
      </c>
      <c r="C6" s="10">
        <v>46218</v>
      </c>
      <c r="D6" s="13">
        <f t="shared" si="0"/>
        <v>7</v>
      </c>
      <c r="E6" t="s">
        <v>51</v>
      </c>
      <c r="F6">
        <v>104</v>
      </c>
      <c r="G6" t="s">
        <v>75</v>
      </c>
    </row>
    <row r="7" spans="1:7">
      <c r="A7" s="5">
        <v>6</v>
      </c>
      <c r="B7" s="6" t="s">
        <v>31</v>
      </c>
      <c r="C7" s="10">
        <v>46203</v>
      </c>
      <c r="D7" s="13">
        <f t="shared" si="0"/>
        <v>6</v>
      </c>
      <c r="E7" t="s">
        <v>52</v>
      </c>
      <c r="F7">
        <v>105</v>
      </c>
      <c r="G7" t="s">
        <v>75</v>
      </c>
    </row>
    <row r="8" spans="1:7">
      <c r="A8" s="5">
        <v>7</v>
      </c>
      <c r="B8" s="6" t="s">
        <v>46</v>
      </c>
      <c r="C8" s="10">
        <v>46288</v>
      </c>
      <c r="D8" s="13">
        <f t="shared" si="0"/>
        <v>9</v>
      </c>
      <c r="E8" t="s">
        <v>52</v>
      </c>
      <c r="F8">
        <v>106</v>
      </c>
      <c r="G8" t="s">
        <v>75</v>
      </c>
    </row>
    <row r="9" spans="1:7">
      <c r="A9" s="5">
        <v>8</v>
      </c>
      <c r="B9" s="6" t="s">
        <v>7</v>
      </c>
      <c r="C9" s="10">
        <v>46356</v>
      </c>
      <c r="D9" s="13">
        <f t="shared" si="0"/>
        <v>11</v>
      </c>
      <c r="E9" t="s">
        <v>52</v>
      </c>
      <c r="F9">
        <v>107</v>
      </c>
      <c r="G9" t="s">
        <v>75</v>
      </c>
    </row>
    <row r="10" spans="1:7">
      <c r="A10" s="5">
        <v>9</v>
      </c>
      <c r="B10" s="6" t="s">
        <v>8</v>
      </c>
      <c r="C10" s="10">
        <v>46247</v>
      </c>
      <c r="D10" s="13">
        <f t="shared" si="0"/>
        <v>8</v>
      </c>
      <c r="E10" t="s">
        <v>53</v>
      </c>
      <c r="F10">
        <v>108</v>
      </c>
      <c r="G10" t="s">
        <v>75</v>
      </c>
    </row>
    <row r="11" spans="1:7">
      <c r="A11" s="5">
        <v>10</v>
      </c>
      <c r="B11" s="6" t="s">
        <v>9</v>
      </c>
      <c r="C11" s="10">
        <v>46320</v>
      </c>
      <c r="D11" s="13">
        <f t="shared" si="0"/>
        <v>10</v>
      </c>
      <c r="E11" t="s">
        <v>54</v>
      </c>
      <c r="F11">
        <v>109</v>
      </c>
      <c r="G11" t="s">
        <v>75</v>
      </c>
    </row>
    <row r="12" spans="1:7">
      <c r="A12" s="5">
        <v>11</v>
      </c>
      <c r="B12" s="6" t="s">
        <v>10</v>
      </c>
      <c r="C12" s="10">
        <v>46211</v>
      </c>
      <c r="D12" s="13">
        <f t="shared" si="0"/>
        <v>7</v>
      </c>
      <c r="E12" t="s">
        <v>54</v>
      </c>
      <c r="F12">
        <v>110</v>
      </c>
      <c r="G12" t="s">
        <v>75</v>
      </c>
    </row>
    <row r="13" spans="1:7">
      <c r="A13" s="5">
        <v>12</v>
      </c>
      <c r="B13" s="6" t="s">
        <v>11</v>
      </c>
      <c r="C13" s="10">
        <v>46175</v>
      </c>
      <c r="D13" s="13">
        <f t="shared" si="0"/>
        <v>6</v>
      </c>
      <c r="E13" t="s">
        <v>54</v>
      </c>
      <c r="F13">
        <v>111</v>
      </c>
      <c r="G13" t="s">
        <v>75</v>
      </c>
    </row>
    <row r="14" spans="1:7">
      <c r="A14" s="5">
        <v>13</v>
      </c>
      <c r="B14" s="6" t="s">
        <v>12</v>
      </c>
      <c r="C14" s="10">
        <v>46348</v>
      </c>
      <c r="D14" s="13">
        <f t="shared" si="0"/>
        <v>11</v>
      </c>
      <c r="E14" t="s">
        <v>55</v>
      </c>
      <c r="F14">
        <v>112</v>
      </c>
      <c r="G14" t="s">
        <v>75</v>
      </c>
    </row>
    <row r="15" spans="1:7">
      <c r="A15" s="5">
        <v>14</v>
      </c>
      <c r="B15" s="6" t="s">
        <v>13</v>
      </c>
      <c r="C15" s="10">
        <v>46106</v>
      </c>
      <c r="D15" s="13">
        <f t="shared" si="0"/>
        <v>3</v>
      </c>
      <c r="E15" t="s">
        <v>56</v>
      </c>
      <c r="F15">
        <v>113</v>
      </c>
      <c r="G15" t="s">
        <v>75</v>
      </c>
    </row>
    <row r="16" spans="1:7">
      <c r="A16" s="5">
        <v>15</v>
      </c>
      <c r="B16" s="6" t="s">
        <v>14</v>
      </c>
      <c r="C16" s="10">
        <v>46359</v>
      </c>
      <c r="D16" s="13">
        <f t="shared" si="0"/>
        <v>12</v>
      </c>
      <c r="E16" t="s">
        <v>56</v>
      </c>
      <c r="F16">
        <v>114</v>
      </c>
      <c r="G16" t="s">
        <v>75</v>
      </c>
    </row>
    <row r="17" spans="1:11">
      <c r="A17" s="5">
        <v>16</v>
      </c>
      <c r="B17" s="6" t="s">
        <v>15</v>
      </c>
      <c r="C17" s="10">
        <v>46317</v>
      </c>
      <c r="D17" s="13">
        <f t="shared" si="0"/>
        <v>10</v>
      </c>
      <c r="E17" t="s">
        <v>57</v>
      </c>
      <c r="F17">
        <v>115</v>
      </c>
      <c r="G17" t="s">
        <v>75</v>
      </c>
    </row>
    <row r="18" spans="1:11">
      <c r="A18" s="5">
        <v>17</v>
      </c>
      <c r="B18" s="6" t="s">
        <v>16</v>
      </c>
      <c r="C18" s="10">
        <v>46109</v>
      </c>
      <c r="D18" s="13">
        <f t="shared" si="0"/>
        <v>3</v>
      </c>
      <c r="E18" t="s">
        <v>57</v>
      </c>
      <c r="F18">
        <v>116</v>
      </c>
      <c r="G18" t="s">
        <v>75</v>
      </c>
    </row>
    <row r="19" spans="1:11">
      <c r="A19" s="5">
        <v>18</v>
      </c>
      <c r="B19" s="6" t="s">
        <v>17</v>
      </c>
      <c r="C19" s="10">
        <v>46197</v>
      </c>
      <c r="D19" s="13">
        <f t="shared" si="0"/>
        <v>6</v>
      </c>
      <c r="E19" t="s">
        <v>58</v>
      </c>
      <c r="F19">
        <v>117</v>
      </c>
      <c r="G19" t="s">
        <v>75</v>
      </c>
    </row>
    <row r="20" spans="1:11">
      <c r="A20" s="5">
        <v>19</v>
      </c>
      <c r="B20" s="6" t="s">
        <v>18</v>
      </c>
      <c r="C20" s="10">
        <v>46343</v>
      </c>
      <c r="D20" s="13">
        <f t="shared" si="0"/>
        <v>11</v>
      </c>
      <c r="E20" t="s">
        <v>58</v>
      </c>
      <c r="F20">
        <v>118</v>
      </c>
      <c r="G20" t="s">
        <v>75</v>
      </c>
    </row>
    <row r="21" spans="1:11">
      <c r="A21" s="5">
        <v>20</v>
      </c>
      <c r="B21" s="6" t="s">
        <v>19</v>
      </c>
      <c r="C21" s="10">
        <v>46148</v>
      </c>
      <c r="D21" s="13">
        <f t="shared" si="0"/>
        <v>5</v>
      </c>
      <c r="E21" t="s">
        <v>59</v>
      </c>
      <c r="F21">
        <v>119</v>
      </c>
      <c r="G21" t="s">
        <v>75</v>
      </c>
    </row>
    <row r="22" spans="1:11">
      <c r="A22" s="5">
        <v>21</v>
      </c>
      <c r="B22" s="6" t="s">
        <v>20</v>
      </c>
      <c r="C22" s="10">
        <v>46078</v>
      </c>
      <c r="D22" s="13">
        <f t="shared" si="0"/>
        <v>2</v>
      </c>
      <c r="E22" t="s">
        <v>59</v>
      </c>
      <c r="F22">
        <v>120</v>
      </c>
      <c r="G22" t="s">
        <v>75</v>
      </c>
    </row>
    <row r="23" spans="1:11">
      <c r="A23" s="5">
        <v>22</v>
      </c>
      <c r="B23" s="6" t="s">
        <v>21</v>
      </c>
      <c r="C23" s="10">
        <v>46330</v>
      </c>
      <c r="D23" s="13">
        <f t="shared" si="0"/>
        <v>11</v>
      </c>
      <c r="E23" t="s">
        <v>59</v>
      </c>
      <c r="F23">
        <v>121</v>
      </c>
      <c r="G23" t="s">
        <v>75</v>
      </c>
    </row>
    <row r="24" spans="1:11">
      <c r="A24" s="5">
        <v>23</v>
      </c>
      <c r="B24" s="6" t="s">
        <v>45</v>
      </c>
      <c r="C24" s="10">
        <v>46244</v>
      </c>
      <c r="D24" s="13">
        <f t="shared" si="0"/>
        <v>8</v>
      </c>
      <c r="E24" t="s">
        <v>60</v>
      </c>
      <c r="F24">
        <v>122</v>
      </c>
      <c r="G24" t="s">
        <v>75</v>
      </c>
    </row>
    <row r="25" spans="1:11">
      <c r="A25" s="5">
        <v>24</v>
      </c>
      <c r="B25" s="6" t="s">
        <v>44</v>
      </c>
      <c r="C25" s="10">
        <v>46035</v>
      </c>
      <c r="D25" s="13">
        <f t="shared" si="0"/>
        <v>1</v>
      </c>
      <c r="E25" t="s">
        <v>60</v>
      </c>
      <c r="F25">
        <v>123</v>
      </c>
      <c r="G25" t="s">
        <v>75</v>
      </c>
      <c r="K25" t="s">
        <v>22</v>
      </c>
    </row>
    <row r="26" spans="1:11">
      <c r="A26" s="5">
        <v>25</v>
      </c>
      <c r="B26" s="6" t="s">
        <v>43</v>
      </c>
      <c r="C26" s="10">
        <v>46241</v>
      </c>
      <c r="D26" s="13">
        <f t="shared" si="0"/>
        <v>8</v>
      </c>
      <c r="E26" t="s">
        <v>61</v>
      </c>
      <c r="F26">
        <v>124</v>
      </c>
      <c r="G26" t="s">
        <v>75</v>
      </c>
    </row>
    <row r="27" spans="1:11">
      <c r="A27" s="5">
        <v>26</v>
      </c>
      <c r="B27" s="6" t="s">
        <v>42</v>
      </c>
      <c r="C27" s="10">
        <v>46256</v>
      </c>
      <c r="D27" s="13">
        <f t="shared" si="0"/>
        <v>8</v>
      </c>
      <c r="E27" t="s">
        <v>61</v>
      </c>
      <c r="F27">
        <v>125</v>
      </c>
      <c r="G27" t="s">
        <v>75</v>
      </c>
    </row>
    <row r="28" spans="1:11">
      <c r="A28" s="5">
        <v>27</v>
      </c>
      <c r="B28" s="6" t="s">
        <v>33</v>
      </c>
      <c r="C28" s="10">
        <v>46065</v>
      </c>
      <c r="D28" s="13">
        <f t="shared" si="0"/>
        <v>2</v>
      </c>
      <c r="E28" t="s">
        <v>62</v>
      </c>
      <c r="F28">
        <v>126</v>
      </c>
      <c r="G28" t="s">
        <v>75</v>
      </c>
    </row>
    <row r="29" spans="1:11">
      <c r="A29" s="5">
        <v>28</v>
      </c>
      <c r="B29" s="6" t="s">
        <v>34</v>
      </c>
      <c r="C29" s="10">
        <v>46373</v>
      </c>
      <c r="D29" s="13">
        <f t="shared" si="0"/>
        <v>12</v>
      </c>
      <c r="E29" t="s">
        <v>62</v>
      </c>
      <c r="F29">
        <v>127</v>
      </c>
      <c r="G29" t="s">
        <v>75</v>
      </c>
    </row>
    <row r="30" spans="1:11">
      <c r="A30" s="5">
        <v>29</v>
      </c>
      <c r="B30" s="6" t="s">
        <v>35</v>
      </c>
      <c r="C30" s="10">
        <v>46170</v>
      </c>
      <c r="D30" s="13">
        <f t="shared" si="0"/>
        <v>5</v>
      </c>
      <c r="E30" t="s">
        <v>63</v>
      </c>
      <c r="F30">
        <v>128</v>
      </c>
      <c r="G30" t="s">
        <v>75</v>
      </c>
    </row>
    <row r="31" spans="1:11">
      <c r="A31" s="5">
        <v>30</v>
      </c>
      <c r="B31" s="6" t="s">
        <v>23</v>
      </c>
      <c r="C31" s="10">
        <v>46220</v>
      </c>
      <c r="D31" s="13">
        <f t="shared" si="0"/>
        <v>7</v>
      </c>
      <c r="E31" t="s">
        <v>63</v>
      </c>
      <c r="F31">
        <v>129</v>
      </c>
      <c r="G31" t="s">
        <v>75</v>
      </c>
    </row>
    <row r="32" spans="1:11">
      <c r="A32" s="5">
        <v>31</v>
      </c>
      <c r="B32" s="6" t="s">
        <v>24</v>
      </c>
      <c r="C32" s="10">
        <v>46220</v>
      </c>
      <c r="D32" s="13">
        <f t="shared" si="0"/>
        <v>7</v>
      </c>
      <c r="E32" t="s">
        <v>64</v>
      </c>
      <c r="F32">
        <v>130</v>
      </c>
      <c r="G32" t="s">
        <v>75</v>
      </c>
    </row>
    <row r="33" spans="1:7">
      <c r="A33" s="5">
        <v>32</v>
      </c>
      <c r="B33" s="6" t="s">
        <v>32</v>
      </c>
      <c r="C33" s="10">
        <v>46040</v>
      </c>
      <c r="D33" s="13">
        <f t="shared" si="0"/>
        <v>1</v>
      </c>
      <c r="E33" t="s">
        <v>64</v>
      </c>
      <c r="F33">
        <v>131</v>
      </c>
      <c r="G33" t="s">
        <v>75</v>
      </c>
    </row>
    <row r="34" spans="1:7">
      <c r="A34" s="5">
        <v>33</v>
      </c>
      <c r="B34" s="6" t="s">
        <v>36</v>
      </c>
      <c r="C34" s="10">
        <v>46189</v>
      </c>
      <c r="D34" s="13">
        <f t="shared" si="0"/>
        <v>6</v>
      </c>
      <c r="E34" t="s">
        <v>65</v>
      </c>
      <c r="F34">
        <v>132</v>
      </c>
      <c r="G34" t="s">
        <v>75</v>
      </c>
    </row>
    <row r="35" spans="1:7">
      <c r="A35" s="5">
        <v>34</v>
      </c>
      <c r="B35" s="6" t="s">
        <v>38</v>
      </c>
      <c r="C35" s="10">
        <v>46376</v>
      </c>
      <c r="D35" s="13">
        <f t="shared" si="0"/>
        <v>12</v>
      </c>
      <c r="E35" t="s">
        <v>65</v>
      </c>
      <c r="F35">
        <v>133</v>
      </c>
      <c r="G35" t="s">
        <v>75</v>
      </c>
    </row>
    <row r="36" spans="1:7">
      <c r="A36" s="5">
        <v>35</v>
      </c>
      <c r="B36" s="6" t="s">
        <v>37</v>
      </c>
      <c r="C36" s="10">
        <v>46332</v>
      </c>
      <c r="D36" s="13">
        <f t="shared" si="0"/>
        <v>11</v>
      </c>
      <c r="E36" t="s">
        <v>66</v>
      </c>
      <c r="F36">
        <v>134</v>
      </c>
      <c r="G36" t="s">
        <v>75</v>
      </c>
    </row>
    <row r="37" spans="1:7">
      <c r="A37" s="5">
        <v>36</v>
      </c>
      <c r="B37" s="6" t="s">
        <v>39</v>
      </c>
      <c r="C37" s="10">
        <v>46249</v>
      </c>
      <c r="D37" s="13">
        <f t="shared" si="0"/>
        <v>8</v>
      </c>
      <c r="E37" t="s">
        <v>67</v>
      </c>
      <c r="F37">
        <v>135</v>
      </c>
      <c r="G37" t="s">
        <v>75</v>
      </c>
    </row>
    <row r="38" spans="1:7">
      <c r="A38" s="5">
        <v>37</v>
      </c>
      <c r="B38" s="6" t="s">
        <v>47</v>
      </c>
      <c r="C38" s="10">
        <v>46124</v>
      </c>
      <c r="D38" s="13">
        <f t="shared" si="0"/>
        <v>4</v>
      </c>
      <c r="E38" t="s">
        <v>68</v>
      </c>
      <c r="F38">
        <v>136</v>
      </c>
      <c r="G38" t="s">
        <v>75</v>
      </c>
    </row>
    <row r="39" spans="1:7">
      <c r="A39" s="5">
        <v>38</v>
      </c>
      <c r="B39" s="6" t="s">
        <v>25</v>
      </c>
      <c r="C39" s="10">
        <v>46134</v>
      </c>
      <c r="D39" s="13">
        <f t="shared" si="0"/>
        <v>4</v>
      </c>
      <c r="E39" t="s">
        <v>69</v>
      </c>
      <c r="F39">
        <v>137</v>
      </c>
      <c r="G39" t="s">
        <v>75</v>
      </c>
    </row>
    <row r="40" spans="1:7">
      <c r="A40" s="5">
        <v>39</v>
      </c>
      <c r="B40" s="6" t="s">
        <v>41</v>
      </c>
      <c r="C40" s="10">
        <v>46282</v>
      </c>
      <c r="D40" s="13">
        <f t="shared" si="0"/>
        <v>9</v>
      </c>
      <c r="E40" t="s">
        <v>70</v>
      </c>
      <c r="F40">
        <v>138</v>
      </c>
      <c r="G40" t="s">
        <v>75</v>
      </c>
    </row>
    <row r="41" spans="1:7">
      <c r="A41" s="5">
        <v>40</v>
      </c>
      <c r="B41" s="6" t="s">
        <v>40</v>
      </c>
      <c r="C41" s="10">
        <v>46250</v>
      </c>
      <c r="D41" s="13">
        <f t="shared" si="0"/>
        <v>8</v>
      </c>
      <c r="E41" t="s">
        <v>70</v>
      </c>
      <c r="F41">
        <v>139</v>
      </c>
      <c r="G41" t="s">
        <v>75</v>
      </c>
    </row>
    <row r="42" spans="1:7">
      <c r="A42" s="5">
        <v>41</v>
      </c>
      <c r="B42" s="6" t="s">
        <v>26</v>
      </c>
      <c r="C42" s="10">
        <v>46093</v>
      </c>
      <c r="D42" s="13">
        <f t="shared" si="0"/>
        <v>3</v>
      </c>
      <c r="E42" t="s">
        <v>71</v>
      </c>
      <c r="F42">
        <v>140</v>
      </c>
      <c r="G42" t="s">
        <v>75</v>
      </c>
    </row>
    <row r="43" spans="1:7">
      <c r="A43" s="5">
        <v>42</v>
      </c>
      <c r="B43" s="6" t="s">
        <v>27</v>
      </c>
      <c r="C43" s="10">
        <v>46356</v>
      </c>
      <c r="D43" s="13">
        <f t="shared" si="0"/>
        <v>11</v>
      </c>
      <c r="E43" t="s">
        <v>72</v>
      </c>
      <c r="F43">
        <v>141</v>
      </c>
      <c r="G43" t="s">
        <v>75</v>
      </c>
    </row>
    <row r="44" spans="1:7">
      <c r="A44" s="5">
        <v>43</v>
      </c>
      <c r="B44" s="6" t="s">
        <v>28</v>
      </c>
      <c r="C44" s="10">
        <v>46181</v>
      </c>
      <c r="D44" s="13">
        <f t="shared" si="0"/>
        <v>6</v>
      </c>
      <c r="E44" t="s">
        <v>73</v>
      </c>
      <c r="F44">
        <v>142</v>
      </c>
      <c r="G44" t="s">
        <v>75</v>
      </c>
    </row>
    <row r="45" spans="1:7">
      <c r="A45" s="5">
        <v>44</v>
      </c>
      <c r="B45" s="6" t="s">
        <v>29</v>
      </c>
      <c r="C45" s="10">
        <v>46294</v>
      </c>
      <c r="D45" s="13">
        <f t="shared" si="0"/>
        <v>9</v>
      </c>
      <c r="E45" t="s">
        <v>73</v>
      </c>
      <c r="F45">
        <v>143</v>
      </c>
      <c r="G45" t="s">
        <v>75</v>
      </c>
    </row>
    <row r="46" spans="1:7">
      <c r="A46" s="5">
        <v>45</v>
      </c>
      <c r="B46" s="6" t="s">
        <v>30</v>
      </c>
      <c r="C46" s="10">
        <v>46304</v>
      </c>
      <c r="D46" s="13">
        <f t="shared" si="0"/>
        <v>10</v>
      </c>
      <c r="E46" t="s">
        <v>73</v>
      </c>
      <c r="F46">
        <v>144</v>
      </c>
      <c r="G46" t="s">
        <v>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C18" sqref="C18"/>
    </sheetView>
  </sheetViews>
  <sheetFormatPr baseColWidth="10" defaultRowHeight="15"/>
  <cols>
    <col min="1" max="1" width="9.7109375" customWidth="1"/>
    <col min="2" max="2" width="40.140625" customWidth="1"/>
  </cols>
  <sheetData>
    <row r="1" spans="1:3" ht="16.5" thickBot="1">
      <c r="A1" s="1" t="s">
        <v>0</v>
      </c>
      <c r="B1" s="2" t="s">
        <v>1</v>
      </c>
      <c r="C1" t="s">
        <v>48</v>
      </c>
    </row>
    <row r="2" spans="1:3">
      <c r="A2" s="3">
        <v>1</v>
      </c>
      <c r="B2" s="4" t="s">
        <v>2</v>
      </c>
      <c r="C2">
        <v>4739731</v>
      </c>
    </row>
    <row r="3" spans="1:3">
      <c r="A3" s="5">
        <v>2</v>
      </c>
      <c r="B3" s="6" t="s">
        <v>3</v>
      </c>
      <c r="C3">
        <v>7695364</v>
      </c>
    </row>
    <row r="4" spans="1:3">
      <c r="A4" s="5">
        <v>3</v>
      </c>
      <c r="B4" s="6" t="s">
        <v>4</v>
      </c>
      <c r="C4">
        <v>6325313</v>
      </c>
    </row>
    <row r="5" spans="1:3">
      <c r="A5" s="5">
        <v>4</v>
      </c>
      <c r="B5" s="6" t="s">
        <v>5</v>
      </c>
      <c r="C5">
        <v>1597870</v>
      </c>
    </row>
    <row r="6" spans="1:3">
      <c r="A6" s="5">
        <v>5</v>
      </c>
      <c r="B6" s="6" t="s">
        <v>6</v>
      </c>
      <c r="C6">
        <v>2201903</v>
      </c>
    </row>
    <row r="7" spans="1:3">
      <c r="A7" s="5">
        <v>6</v>
      </c>
      <c r="B7" s="6" t="s">
        <v>31</v>
      </c>
      <c r="C7">
        <v>4566188</v>
      </c>
    </row>
    <row r="8" spans="1:3">
      <c r="A8" s="5">
        <v>7</v>
      </c>
      <c r="B8" s="6" t="s">
        <v>46</v>
      </c>
      <c r="C8">
        <v>2985890</v>
      </c>
    </row>
    <row r="9" spans="1:3">
      <c r="A9" s="5">
        <v>8</v>
      </c>
      <c r="B9" s="6" t="s">
        <v>7</v>
      </c>
      <c r="C9">
        <v>2979696</v>
      </c>
    </row>
    <row r="10" spans="1:3">
      <c r="A10" s="5">
        <v>9</v>
      </c>
      <c r="B10" s="6" t="s">
        <v>8</v>
      </c>
      <c r="C10">
        <v>4611776</v>
      </c>
    </row>
    <row r="11" spans="1:3">
      <c r="A11" s="5">
        <v>10</v>
      </c>
      <c r="B11" s="6" t="s">
        <v>9</v>
      </c>
      <c r="C11">
        <v>6319667</v>
      </c>
    </row>
    <row r="12" spans="1:3">
      <c r="A12" s="5">
        <v>11</v>
      </c>
      <c r="B12" s="6" t="s">
        <v>10</v>
      </c>
      <c r="C12">
        <v>6331396</v>
      </c>
    </row>
    <row r="13" spans="1:3">
      <c r="A13" s="5">
        <v>12</v>
      </c>
      <c r="B13" s="6" t="s">
        <v>11</v>
      </c>
    </row>
    <row r="14" spans="1:3">
      <c r="A14" s="5">
        <v>13</v>
      </c>
      <c r="B14" s="6" t="s">
        <v>12</v>
      </c>
      <c r="C14">
        <v>6366205</v>
      </c>
    </row>
    <row r="15" spans="1:3">
      <c r="A15" s="5">
        <v>14</v>
      </c>
      <c r="B15" s="6" t="s">
        <v>13</v>
      </c>
      <c r="C15">
        <v>4305161</v>
      </c>
    </row>
    <row r="16" spans="1:3">
      <c r="A16" s="5">
        <v>15</v>
      </c>
      <c r="B16" s="6" t="s">
        <v>14</v>
      </c>
      <c r="C16">
        <v>9736282</v>
      </c>
    </row>
    <row r="17" spans="1:3">
      <c r="A17" s="5">
        <v>16</v>
      </c>
      <c r="B17" s="6" t="s">
        <v>15</v>
      </c>
      <c r="C17">
        <v>3257569</v>
      </c>
    </row>
    <row r="18" spans="1:3">
      <c r="A18" s="5">
        <v>17</v>
      </c>
      <c r="B18" s="7" t="s">
        <v>16</v>
      </c>
    </row>
    <row r="19" spans="1:3">
      <c r="A19" s="5">
        <v>18</v>
      </c>
      <c r="B19" s="6" t="s">
        <v>17</v>
      </c>
    </row>
    <row r="20" spans="1:3">
      <c r="A20" s="5">
        <v>19</v>
      </c>
      <c r="B20" s="6" t="s">
        <v>18</v>
      </c>
    </row>
    <row r="21" spans="1:3">
      <c r="A21" s="5">
        <v>20</v>
      </c>
      <c r="B21" s="6" t="s">
        <v>19</v>
      </c>
    </row>
    <row r="22" spans="1:3">
      <c r="A22" s="5">
        <v>21</v>
      </c>
      <c r="B22" s="6" t="s">
        <v>20</v>
      </c>
    </row>
    <row r="23" spans="1:3">
      <c r="A23" s="5">
        <v>22</v>
      </c>
      <c r="B23" s="6" t="s">
        <v>21</v>
      </c>
    </row>
    <row r="24" spans="1:3">
      <c r="A24" s="5">
        <v>23</v>
      </c>
      <c r="B24" s="6" t="s">
        <v>45</v>
      </c>
    </row>
    <row r="25" spans="1:3">
      <c r="A25" s="5">
        <v>24</v>
      </c>
      <c r="B25" s="6" t="s">
        <v>44</v>
      </c>
    </row>
    <row r="26" spans="1:3">
      <c r="A26" s="5">
        <v>25</v>
      </c>
      <c r="B26" s="6" t="s">
        <v>43</v>
      </c>
    </row>
    <row r="27" spans="1:3">
      <c r="A27" s="5">
        <v>26</v>
      </c>
      <c r="B27" s="6" t="s">
        <v>42</v>
      </c>
    </row>
    <row r="28" spans="1:3">
      <c r="A28" s="5">
        <v>27</v>
      </c>
      <c r="B28" s="6" t="s">
        <v>33</v>
      </c>
    </row>
    <row r="29" spans="1:3">
      <c r="A29" s="5">
        <v>28</v>
      </c>
      <c r="B29" s="6" t="s">
        <v>34</v>
      </c>
    </row>
    <row r="30" spans="1:3">
      <c r="A30" s="5">
        <v>29</v>
      </c>
      <c r="B30" s="6" t="s">
        <v>35</v>
      </c>
    </row>
    <row r="31" spans="1:3">
      <c r="A31" s="5">
        <v>30</v>
      </c>
      <c r="B31" s="6" t="s">
        <v>23</v>
      </c>
    </row>
    <row r="32" spans="1:3">
      <c r="A32" s="5">
        <v>31</v>
      </c>
      <c r="B32" s="6" t="s">
        <v>24</v>
      </c>
    </row>
    <row r="33" spans="1:3">
      <c r="A33" s="5">
        <v>32</v>
      </c>
      <c r="B33" s="6" t="s">
        <v>32</v>
      </c>
    </row>
    <row r="34" spans="1:3">
      <c r="A34" s="5">
        <v>33</v>
      </c>
      <c r="B34" s="6" t="s">
        <v>36</v>
      </c>
    </row>
    <row r="35" spans="1:3">
      <c r="A35" s="5">
        <v>34</v>
      </c>
      <c r="B35" s="6" t="s">
        <v>38</v>
      </c>
    </row>
    <row r="36" spans="1:3">
      <c r="A36" s="5">
        <v>35</v>
      </c>
      <c r="B36" s="6" t="s">
        <v>37</v>
      </c>
      <c r="C36">
        <v>3292099</v>
      </c>
    </row>
    <row r="37" spans="1:3">
      <c r="A37" s="5">
        <v>36</v>
      </c>
      <c r="B37" s="6" t="s">
        <v>39</v>
      </c>
    </row>
    <row r="38" spans="1:3">
      <c r="A38" s="5">
        <v>37</v>
      </c>
      <c r="B38" s="6" t="s">
        <v>47</v>
      </c>
    </row>
    <row r="39" spans="1:3">
      <c r="A39" s="5">
        <v>38</v>
      </c>
      <c r="B39" s="6" t="s">
        <v>25</v>
      </c>
    </row>
    <row r="40" spans="1:3">
      <c r="A40" s="5">
        <v>39</v>
      </c>
      <c r="B40" s="6" t="s">
        <v>41</v>
      </c>
    </row>
    <row r="41" spans="1:3">
      <c r="A41" s="5">
        <v>40</v>
      </c>
      <c r="B41" s="6" t="s">
        <v>40</v>
      </c>
    </row>
    <row r="42" spans="1:3">
      <c r="A42" s="5">
        <v>41</v>
      </c>
      <c r="B42" s="6" t="s">
        <v>26</v>
      </c>
    </row>
    <row r="43" spans="1:3">
      <c r="A43" s="5">
        <v>42</v>
      </c>
      <c r="B43" s="6" t="s">
        <v>27</v>
      </c>
    </row>
    <row r="44" spans="1:3">
      <c r="A44" s="5">
        <v>43</v>
      </c>
      <c r="B44" s="6" t="s">
        <v>28</v>
      </c>
    </row>
    <row r="45" spans="1:3">
      <c r="A45" s="5">
        <v>44</v>
      </c>
      <c r="B45" s="6" t="s">
        <v>29</v>
      </c>
    </row>
    <row r="46" spans="1:3">
      <c r="A46" s="5">
        <v>45</v>
      </c>
      <c r="B46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Sindicato</dc:creator>
  <cp:lastModifiedBy>Alfredo Montoya Calderon</cp:lastModifiedBy>
  <dcterms:created xsi:type="dcterms:W3CDTF">2024-01-05T14:28:00Z</dcterms:created>
  <dcterms:modified xsi:type="dcterms:W3CDTF">2026-07-28T19:56:44Z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3A19E08BA54F4122897CB330AA7F3F2A_12</vt:lpwstr>
  </property>
  <property fmtid="{D5CDD505-2E9C-101B-9397-08002B2CF9AE}" pid="3" name="KSOProductBuildVer">
    <vt:lpwstr>1033-12.2.0.17562</vt:lpwstr>
  </property>
</Properties>
</file>